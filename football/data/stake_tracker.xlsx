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quant_bet_alpha\football\data\"/>
    </mc:Choice>
  </mc:AlternateContent>
  <xr:revisionPtr revIDLastSave="0" documentId="13_ncr:1_{485379EA-D28E-4BC2-8DCA-AA60ACEC0A8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tak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2" i="1" l="1"/>
</calcChain>
</file>

<file path=xl/sharedStrings.xml><?xml version="1.0" encoding="utf-8"?>
<sst xmlns="http://schemas.openxmlformats.org/spreadsheetml/2006/main" count="89" uniqueCount="53">
  <si>
    <t xml:space="preserve">Date </t>
  </si>
  <si>
    <t>Time</t>
  </si>
  <si>
    <t>Match</t>
  </si>
  <si>
    <t>Tournament</t>
  </si>
  <si>
    <t>Kickoff</t>
  </si>
  <si>
    <t>Market</t>
  </si>
  <si>
    <t>Platform 1</t>
  </si>
  <si>
    <t>Bet 1</t>
  </si>
  <si>
    <t>Odds 1</t>
  </si>
  <si>
    <t>Stake 1 (GHS)</t>
  </si>
  <si>
    <t>Platform 2</t>
  </si>
  <si>
    <t>Bet 2</t>
  </si>
  <si>
    <t>Odds 2</t>
  </si>
  <si>
    <t>Stake 2 (GHS)</t>
  </si>
  <si>
    <t>Platform 3</t>
  </si>
  <si>
    <t>Bet 3</t>
  </si>
  <si>
    <t>Odds 3</t>
  </si>
  <si>
    <t>Stake 3 (GHS)</t>
  </si>
  <si>
    <t>Total Stake (GHS)</t>
  </si>
  <si>
    <t xml:space="preserve"> Profit %</t>
  </si>
  <si>
    <t xml:space="preserve"> Profit(GHS)</t>
  </si>
  <si>
    <t>Accumulated Profit (GHS)</t>
  </si>
  <si>
    <t>6/6/2026</t>
  </si>
  <si>
    <t>9:16:49</t>
  </si>
  <si>
    <t>Central Espanol FC vs Racing Club Montevideo</t>
  </si>
  <si>
    <t>Uruguay. Primera Division</t>
  </si>
  <si>
    <t>6/6/2026 13:00</t>
  </si>
  <si>
    <t>Over/Under 0.5</t>
  </si>
  <si>
    <t>MSport</t>
  </si>
  <si>
    <t>Over 0.5</t>
  </si>
  <si>
    <t>1.1</t>
  </si>
  <si>
    <t>1272.73</t>
  </si>
  <si>
    <t>22Bet</t>
  </si>
  <si>
    <t>Under 0.5</t>
  </si>
  <si>
    <t>15</t>
  </si>
  <si>
    <t>127.27</t>
  </si>
  <si>
    <t>1400</t>
  </si>
  <si>
    <t>2.48</t>
  </si>
  <si>
    <t>509.05</t>
  </si>
  <si>
    <t>09:56:37</t>
  </si>
  <si>
    <t>Appalachian FC vs Hickory FC</t>
  </si>
  <si>
    <t>USA. USL League Two</t>
  </si>
  <si>
    <t>6/6/2026 23:00</t>
  </si>
  <si>
    <t>Over/Under 4.5</t>
  </si>
  <si>
    <t>Betway</t>
  </si>
  <si>
    <t>Over 4.5</t>
  </si>
  <si>
    <t>Sportybet</t>
  </si>
  <si>
    <t>Under 4.5</t>
  </si>
  <si>
    <t>Football.com</t>
  </si>
  <si>
    <t>Montevideo City Torque vs Deportivo Maldonado</t>
  </si>
  <si>
    <t>6/6/2026 18:00</t>
  </si>
  <si>
    <t>10:03:08</t>
  </si>
  <si>
    <t>10:04:25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</si>
</sst>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V16" totalsRowShown="0">
  <autoFilter ref="A1:V16" xr:uid="{00000000-0009-0000-0100-000001000000}"/>
  <tableColumns count="22">
    <tableColumn id="1" xr3:uid="{00000000-0010-0000-0000-000001000000}" name="Date "/>
    <tableColumn id="2" xr3:uid="{00000000-0010-0000-0000-000002000000}" name="Time"/>
    <tableColumn id="3" xr3:uid="{00000000-0010-0000-0000-000003000000}" name="Match"/>
    <tableColumn id="4" xr3:uid="{00000000-0010-0000-0000-000004000000}" name="Tournament"/>
    <tableColumn id="5" xr3:uid="{00000000-0010-0000-0000-000005000000}" name="Kickoff"/>
    <tableColumn id="6" xr3:uid="{00000000-0010-0000-0000-000006000000}" name="Market"/>
    <tableColumn id="7" xr3:uid="{00000000-0010-0000-0000-000007000000}" name="Platform 1"/>
    <tableColumn id="8" xr3:uid="{00000000-0010-0000-0000-000008000000}" name="Bet 1"/>
    <tableColumn id="9" xr3:uid="{00000000-0010-0000-0000-000009000000}" name="Odds 1"/>
    <tableColumn id="10" xr3:uid="{00000000-0010-0000-0000-00000A000000}" name="Stake 1 (GHS)"/>
    <tableColumn id="11" xr3:uid="{00000000-0010-0000-0000-00000B000000}" name="Platform 2"/>
    <tableColumn id="12" xr3:uid="{00000000-0010-0000-0000-00000C000000}" name="Bet 2"/>
    <tableColumn id="13" xr3:uid="{00000000-0010-0000-0000-00000D000000}" name="Odds 2"/>
    <tableColumn id="14" xr3:uid="{00000000-0010-0000-0000-00000E000000}" name="Stake 2 (GHS)"/>
    <tableColumn id="15" xr3:uid="{00000000-0010-0000-0000-00000F000000}" name="Platform 3"/>
    <tableColumn id="16" xr3:uid="{00000000-0010-0000-0000-000010000000}" name="Bet 3"/>
    <tableColumn id="17" xr3:uid="{00000000-0010-0000-0000-000011000000}" name="Odds 3"/>
    <tableColumn id="18" xr3:uid="{00000000-0010-0000-0000-000012000000}" name="Stake 3 (GHS)"/>
    <tableColumn id="19" xr3:uid="{00000000-0010-0000-0000-000013000000}" name="Total Stake (GHS)"/>
    <tableColumn id="20" xr3:uid="{00000000-0010-0000-0000-000014000000}" name=" Profit %"/>
    <tableColumn id="21" xr3:uid="{00000000-0010-0000-0000-000015000000}" name=" Profit(GHS)"/>
    <tableColumn id="22" xr3:uid="{00000000-0010-0000-0000-000016000000}" name="Accumulated Profit (GHS)" dataDxfId="0">
      <calculatedColumnFormula>SUM(U$2:U2)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6"/>
  <sheetViews>
    <sheetView tabSelected="1" topLeftCell="B1" workbookViewId="0">
      <selection activeCell="I6" sqref="I6"/>
    </sheetView>
  </sheetViews>
  <sheetFormatPr defaultRowHeight="14.4" x14ac:dyDescent="0.3"/>
  <cols>
    <col min="1" max="1" width="19.44140625" customWidth="1"/>
    <col min="2" max="2" width="14.88671875" customWidth="1"/>
    <col min="3" max="3" width="33" customWidth="1"/>
    <col min="4" max="4" width="37.33203125" customWidth="1"/>
    <col min="5" max="5" width="19.109375" customWidth="1"/>
    <col min="6" max="6" width="21.44140625" customWidth="1"/>
    <col min="7" max="7" width="13.6640625" customWidth="1"/>
    <col min="8" max="8" width="15.21875" customWidth="1"/>
    <col min="9" max="9" width="11.5546875" customWidth="1"/>
    <col min="10" max="10" width="17" customWidth="1"/>
    <col min="11" max="11" width="11.6640625" customWidth="1"/>
    <col min="13" max="13" width="12.21875" customWidth="1"/>
    <col min="14" max="14" width="14.21875" customWidth="1"/>
    <col min="15" max="15" width="11.6640625" customWidth="1"/>
    <col min="18" max="18" width="14.21875" customWidth="1"/>
    <col min="19" max="19" width="17.44140625" customWidth="1"/>
    <col min="20" max="20" width="9.88671875" customWidth="1"/>
    <col min="21" max="21" width="12.77734375" customWidth="1"/>
    <col min="22" max="22" width="24.33203125" customWidth="1"/>
  </cols>
  <sheetData>
    <row r="1" spans="1:2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x14ac:dyDescent="0.3">
      <c r="A2" t="s">
        <v>22</v>
      </c>
      <c r="B2" t="s">
        <v>23</v>
      </c>
      <c r="C2" t="s">
        <v>24</v>
      </c>
      <c r="D2" t="s">
        <v>25</v>
      </c>
      <c r="E2" t="s">
        <v>26</v>
      </c>
      <c r="F2" t="s">
        <v>27</v>
      </c>
      <c r="G2" t="s">
        <v>28</v>
      </c>
      <c r="H2" t="s">
        <v>29</v>
      </c>
      <c r="I2" t="s">
        <v>30</v>
      </c>
      <c r="J2" t="s">
        <v>31</v>
      </c>
      <c r="K2" t="s">
        <v>32</v>
      </c>
      <c r="L2" t="s">
        <v>33</v>
      </c>
      <c r="M2" t="s">
        <v>34</v>
      </c>
      <c r="N2" t="s">
        <v>35</v>
      </c>
      <c r="S2" t="s">
        <v>36</v>
      </c>
      <c r="T2" t="s">
        <v>37</v>
      </c>
      <c r="U2" t="s">
        <v>38</v>
      </c>
      <c r="V2">
        <f>SUM(U$2:U2)</f>
        <v>0</v>
      </c>
    </row>
    <row r="12" spans="1:22" x14ac:dyDescent="0.3">
      <c r="A12" t="s">
        <v>22</v>
      </c>
      <c r="B12" t="s">
        <v>39</v>
      </c>
      <c r="C12" t="s">
        <v>40</v>
      </c>
      <c r="D12" t="s">
        <v>41</v>
      </c>
      <c r="E12" t="s">
        <v>42</v>
      </c>
      <c r="F12" t="s">
        <v>43</v>
      </c>
      <c r="G12" t="s">
        <v>44</v>
      </c>
      <c r="H12" t="s">
        <v>45</v>
      </c>
      <c r="I12">
        <v>4.7</v>
      </c>
      <c r="J12">
        <v>305.16000000000003</v>
      </c>
      <c r="K12" t="s">
        <v>46</v>
      </c>
      <c r="L12" t="s">
        <v>47</v>
      </c>
      <c r="M12">
        <v>1.31</v>
      </c>
      <c r="N12">
        <v>1094.8399999999999</v>
      </c>
      <c r="S12">
        <v>1400</v>
      </c>
      <c r="T12">
        <v>2.4500000000000002</v>
      </c>
      <c r="U12">
        <v>34.24</v>
      </c>
    </row>
    <row r="13" spans="1:22" x14ac:dyDescent="0.3">
      <c r="A13" t="s">
        <v>22</v>
      </c>
      <c r="B13" t="s">
        <v>39</v>
      </c>
      <c r="C13" t="s">
        <v>40</v>
      </c>
      <c r="D13" t="s">
        <v>41</v>
      </c>
      <c r="E13" t="s">
        <v>42</v>
      </c>
      <c r="F13" t="s">
        <v>43</v>
      </c>
      <c r="G13" t="s">
        <v>44</v>
      </c>
      <c r="H13" t="s">
        <v>45</v>
      </c>
      <c r="I13">
        <v>4.7</v>
      </c>
      <c r="J13">
        <v>303.33</v>
      </c>
      <c r="K13" t="s">
        <v>48</v>
      </c>
      <c r="L13" t="s">
        <v>47</v>
      </c>
      <c r="M13">
        <v>1.3</v>
      </c>
      <c r="N13">
        <v>1096.67</v>
      </c>
      <c r="S13">
        <v>1400</v>
      </c>
      <c r="T13">
        <v>1.83</v>
      </c>
      <c r="U13">
        <v>25.67</v>
      </c>
    </row>
    <row r="14" spans="1:22" x14ac:dyDescent="0.3">
      <c r="A14" t="s">
        <v>22</v>
      </c>
      <c r="B14" t="s">
        <v>39</v>
      </c>
      <c r="C14" t="s">
        <v>49</v>
      </c>
      <c r="D14" t="s">
        <v>25</v>
      </c>
      <c r="E14" t="s">
        <v>50</v>
      </c>
      <c r="F14" t="s">
        <v>43</v>
      </c>
      <c r="G14" t="s">
        <v>32</v>
      </c>
      <c r="H14" t="s">
        <v>45</v>
      </c>
      <c r="I14">
        <v>13.5</v>
      </c>
      <c r="J14">
        <v>105.48</v>
      </c>
      <c r="K14" t="s">
        <v>28</v>
      </c>
      <c r="L14" t="s">
        <v>47</v>
      </c>
      <c r="M14">
        <v>1.1000000000000001</v>
      </c>
      <c r="N14">
        <v>1294.52</v>
      </c>
      <c r="S14">
        <v>1400</v>
      </c>
      <c r="T14">
        <v>1.71</v>
      </c>
      <c r="U14">
        <v>23.97</v>
      </c>
    </row>
    <row r="15" spans="1:22" x14ac:dyDescent="0.3">
      <c r="A15" t="s">
        <v>22</v>
      </c>
      <c r="B15" t="s">
        <v>51</v>
      </c>
      <c r="C15" t="s">
        <v>40</v>
      </c>
      <c r="D15" t="s">
        <v>41</v>
      </c>
      <c r="E15" t="s">
        <v>42</v>
      </c>
      <c r="F15" t="s">
        <v>43</v>
      </c>
      <c r="G15" t="s">
        <v>44</v>
      </c>
      <c r="H15" t="s">
        <v>45</v>
      </c>
      <c r="I15">
        <v>4.7</v>
      </c>
      <c r="J15">
        <v>323.08</v>
      </c>
      <c r="K15" t="s">
        <v>48</v>
      </c>
      <c r="L15" t="s">
        <v>47</v>
      </c>
      <c r="M15">
        <v>1.3</v>
      </c>
      <c r="N15">
        <v>1076.92</v>
      </c>
      <c r="S15">
        <v>1400</v>
      </c>
      <c r="T15">
        <v>1.83</v>
      </c>
      <c r="U15">
        <v>118.48</v>
      </c>
    </row>
    <row r="16" spans="1:22" x14ac:dyDescent="0.3">
      <c r="A16" t="s">
        <v>22</v>
      </c>
      <c r="B16" t="s">
        <v>52</v>
      </c>
      <c r="C16" t="s">
        <v>24</v>
      </c>
      <c r="D16" t="s">
        <v>25</v>
      </c>
      <c r="E16" t="s">
        <v>26</v>
      </c>
      <c r="F16" t="s">
        <v>27</v>
      </c>
      <c r="G16" t="s">
        <v>44</v>
      </c>
      <c r="H16" t="s">
        <v>29</v>
      </c>
      <c r="I16">
        <v>1.08</v>
      </c>
      <c r="J16">
        <v>1296.3</v>
      </c>
      <c r="K16" t="s">
        <v>32</v>
      </c>
      <c r="L16" t="s">
        <v>33</v>
      </c>
      <c r="M16">
        <v>15</v>
      </c>
      <c r="N16">
        <v>103.7</v>
      </c>
      <c r="S16">
        <v>1400</v>
      </c>
      <c r="T16">
        <v>0.75</v>
      </c>
      <c r="U16">
        <v>155.5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Duah Erasmus Gyamfi</cp:lastModifiedBy>
  <dcterms:created xsi:type="dcterms:W3CDTF">2026-06-06T09:37:15Z</dcterms:created>
  <dcterms:modified xsi:type="dcterms:W3CDTF">2026-06-06T10:04:54Z</dcterms:modified>
</cp:coreProperties>
</file>